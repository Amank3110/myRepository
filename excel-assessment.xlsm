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an\OneDrive\Desktop\MapUp\MapUp-Data-Assessment-F\"/>
    </mc:Choice>
  </mc:AlternateContent>
  <xr:revisionPtr revIDLastSave="0" documentId="13_ncr:1_{BBAD0B21-36BC-44DE-9035-325FDDD333E6}" xr6:coauthVersionLast="47" xr6:coauthVersionMax="47" xr10:uidLastSave="{00000000-0000-0000-0000-000000000000}"/>
  <bookViews>
    <workbookView xWindow="-120" yWindow="-120" windowWidth="20730" windowHeight="1104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D16" i="16"/>
  <c r="D17" i="16"/>
  <c r="C16" i="16"/>
  <c r="B16" i="16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2" i="19" a="1"/>
  <c r="C22" i="19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7" i="18"/>
  <c r="F8" i="18"/>
  <c r="F9" i="18"/>
  <c r="F10" i="18"/>
  <c r="F28" i="18" s="1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F29" i="18" s="1"/>
  <c r="E6" i="18"/>
  <c r="E30" i="18" s="1"/>
  <c r="D7" i="18"/>
  <c r="D8" i="18"/>
  <c r="D9" i="18"/>
  <c r="D10" i="18"/>
  <c r="D30" i="18" s="1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8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8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8" i="18" s="1"/>
  <c r="C5" i="15"/>
  <c r="E29" i="18" l="1"/>
  <c r="C30" i="18"/>
  <c r="D29" i="18"/>
  <c r="E28" i="18"/>
  <c r="F30" i="18"/>
  <c r="B30" i="18"/>
  <c r="C29" i="18"/>
  <c r="B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<sst xmlns="http://schemas.openxmlformats.org/spreadsheetml/2006/main" count="367" uniqueCount="200">
  <si>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</si>
  <si>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</si>
  <si>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</si>
  <si>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</si>
  <si>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</si>
  <si>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</si>
  <si>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</si>
  <si>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</si>
  <si>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</si>
  <si>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</si>
  <si>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</si>
  <si>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</si>
  <si>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</si>
  <si>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</si>
  <si>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</si>
  <si>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</si>
  <si>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</si>
  <si>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</si>
  <si>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</si>
  <si>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</si>
  <si>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</si>
  <si>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</si>
  <si>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</si>
  <si>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</si>
  <si>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</si>
  <si>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</si>
  <si>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</si>
  <si>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</si>
  <si>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</si>
  <si>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</si>
  <si>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</si>
  <si>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</si>
  <si>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</si>
  <si>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</si>
  <si>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</si>
  <si>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</si>
  <si>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</si>
  <si>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</si>
  <si>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</si>
  <si>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</si>
  <si>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</si>
  <si>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</si>
  <si>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</si>
  <si>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</si>
  <si>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</si>
  <si>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</si>
  <si>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</si>
  <si>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</si>
  <si>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</si>
  <si>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</si>
  <si>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</si>
  <si>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</si>
  <si>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</si>
  <si>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</si>
  <si>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</si>
  <si>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</si>
  <si>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</si>
  <si>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</si>
  <si>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</si>
  <si>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</si>
  <si>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</si>
  <si>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</si>
  <si>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</si>
  <si>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</si>
  <si>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</si>
  <si>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</si>
  <si>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</si>
  <si>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</si>
  <si>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</si>
  <si>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</si>
  <si>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</si>
  <si>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</si>
  <si>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</si>
  <si>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</si>
  <si>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</si>
  <si>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</si>
  <si>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</si>
  <si>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</si>
  <si>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</si>
  <si>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</si>
  <si>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</si>
  <si>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</si>
  <si>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</si>
  <si>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</si>
  <si>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</si>
  <si>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</si>
  <si>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</si>
  <si>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</si>
  <si>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</si>
  <si>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</si>
  <si>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</si>
  <si>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</si>
  <si>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</si>
  <si>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</si>
  <si>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</si>
  <si>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</si>
  <si>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</si>
  <si>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</si>
  <si>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</si>
  <si>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</si>
  <si>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</si>
  <si>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</si>
  <si>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</si>
  <si>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</si>
  <si>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</si>
  <si>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</si>
  <si>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</si>
  <si>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</si>
  <si>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</si>
  <si>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</si>
  <si>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</si>
  <si>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</si>
  <si>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</si>
  <si>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</si>
  <si>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</si>
  <si>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</si>
  <si>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</si>
  <si>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</si>
  <si>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</si>
  <si>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</si>
  <si>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</si>
  <si>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</si>
  <si>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</si>
  <si>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</si>
  <si>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</si>
  <si>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</si>
  <si>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</si>
  <si>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</si>
  <si>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</si>
  <si>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</si>
  <si>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</si>
  <si>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</si>
  <si>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</si>
  <si>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</si>
  <si>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</si>
  <si>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</si>
  <si>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</si>
  <si>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</si>
  <si>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</si>
  <si>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</si>
  <si>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</si>
  <si>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</si>
  <si>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</si>
  <si>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</si>
  <si>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</si>
  <si>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</si>
  <si>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</si>
  <si>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</si>
  <si>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</si>
  <si>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</si>
  <si>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</si>
  <si>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</si>
  <si>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</si>
  <si>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</si>
  <si>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</si>
  <si>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</si>
  <si>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</si>
  <si>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</si>
  <si>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</si>
  <si>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</si>
  <si>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</si>
  <si>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</si>
  <si>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</si>
  <si>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</si>
  <si>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</si>
  <si>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</si>
  <si>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</si>
  <si>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</si>
  <si>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</si>
  <si>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</si>
  <si>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</si>
  <si>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</si>
  <si>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</si>
  <si>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</si>
  <si>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</si>
  <si>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</si>
  <si>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</si>
  <si>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</si>
  <si>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- Basically, this formula calculate total sales, replacing null by 20.</t>
  </si>
  <si>
    <t xml:space="preserve">- if() and ISNUMBER() function which helps to checking value is NULL or not, </t>
  </si>
  <si>
    <t>- then sum them up with SUM()</t>
  </si>
  <si>
    <t>USED - VLOOKUP, MAX, MIN, AVG functions</t>
  </si>
  <si>
    <t>==INDEX($A$3:$J$12,MATCH(VLOOKUP(A16,$E$15:$F$24,2,FALSE),$A$3:$A$12,0),MATCH(VLOOKUP(B16,$E$15:$F$24,2,FALSE),$A$3:$J$3,0))</t>
  </si>
  <si>
    <t>Formula</t>
  </si>
  <si>
    <t>- used MATCH() is  to find the positions (row and column) of these names in tableA.</t>
  </si>
  <si>
    <t xml:space="preserve">- used VLOOKUP() to find the names in tableB corresponding to the IDs in cell A16 and B16 of tableC.  </t>
  </si>
  <si>
    <t>- used INDEX() for get the info from tableC to find the correct spot in tableA by looking at tableB, and then it grabs the value from that spot.</t>
  </si>
  <si>
    <t>=SUM(IF(ISNUMBER(C12:C21),C12:21,20))</t>
  </si>
  <si>
    <t xml:space="preserve">column </t>
  </si>
  <si>
    <t>Explanation</t>
  </si>
  <si>
    <t>=LEFT(A16,FIND("-",A16)-1)</t>
  </si>
  <si>
    <t>=MID(A16, FIND("-", A16) + 1, FIND("-", MID(A16, FIND("-", A16) + 1, LEN(A16))) - 1)</t>
  </si>
  <si>
    <t>=TRIM(MID(SUBSTITUTE(MID(A16, FIND("-", A16) + 1, LEN(A16)), "-", REPT(" ", LEN(A16))), LEN(A16), LEN(A16)))</t>
  </si>
  <si>
    <t>=TRIM(MID(SUBSTITUTE(MID(A16, FIND("-", A16) + 1, LEN(A16)), "-", REPT(" ", LEN(A16))), LEN(A16)*2, LEN(A16)))</t>
  </si>
  <si>
    <t>=RIGHT(A16,FIND("-",A16)-4)</t>
  </si>
  <si>
    <t>Extract the text from left of first hyphen</t>
  </si>
  <si>
    <t>Extract the text between the first and second hyphens</t>
  </si>
  <si>
    <t>Extract the text after the first hypher, remove leading and trailing spaces.</t>
  </si>
  <si>
    <t>Extract the text after the second hyphen, removing leading and trailing spaces as above.</t>
  </si>
  <si>
    <t>Extract the text from right of first hyphen, excluding the first four characters.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</si>
</sst>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3" fillId="0" borderId="0" xfId="0" quotePrefix="1" applyFont="1"/>
    <xf numFmtId="0" fontId="7" fillId="5" borderId="1" xfId="0" applyFont="1" applyFill="1" applyBorder="1"/>
    <xf numFmtId="0" fontId="3" fillId="5" borderId="6" xfId="0" applyFont="1" applyFill="1" applyBorder="1"/>
    <xf numFmtId="2" fontId="3" fillId="5" borderId="6" xfId="0" applyNumberFormat="1" applyFont="1" applyFill="1" applyBorder="1"/>
    <xf numFmtId="0" fontId="8" fillId="6" borderId="0" xfId="0" applyFont="1" applyFill="1"/>
    <xf numFmtId="0" fontId="3" fillId="6" borderId="0" xfId="0" applyFont="1" applyFill="1"/>
    <xf numFmtId="0" fontId="3" fillId="6" borderId="0" xfId="0" quotePrefix="1" applyFont="1" applyFill="1"/>
    <xf numFmtId="0" fontId="18" fillId="0" borderId="0" xfId="0" quotePrefix="1" applyFont="1"/>
    <xf numFmtId="0" fontId="19" fillId="0" borderId="0" xfId="0" quotePrefix="1" applyFont="1"/>
    <xf numFmtId="2" fontId="9" fillId="0" borderId="3" xfId="0" applyNumberFormat="1" applyFont="1" applyBorder="1"/>
    <xf numFmtId="0" fontId="3" fillId="0" borderId="1" xfId="0" quotePrefix="1" applyFont="1" applyBorder="1"/>
    <xf numFmtId="0" fontId="7" fillId="0" borderId="1" xfId="0" quotePrefix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FF0000"/>
        </patternFill>
      </fill>
    </dxf>
    <dxf>
      <fill>
        <patternFill>
          <bgColor rgb="FFCC0000"/>
        </patternFill>
      </fill>
    </dxf>
    <dxf>
      <fill>
        <patternFill>
          <bgColor rgb="FFFF3300"/>
        </patternFill>
      </fill>
    </dxf>
    <dxf>
      <fill>
        <patternFill>
          <bgColor rgb="FFCC0000"/>
        </patternFill>
      </fill>
    </dxf>
    <dxf>
      <fill>
        <patternFill>
          <bgColor rgb="FF3366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336600"/>
      <color rgb="FFCC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6A3A0A-B9E1-44B8-B436-0D3E3FA38BB0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G13" sqref="G13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  <c r="C10" s="24" t="s">
        <v>177</v>
      </c>
    </row>
    <row r="11" spans="1:3" x14ac:dyDescent="0.2">
      <c r="A11" s="33" t="s">
        <v>55</v>
      </c>
      <c r="B11" s="35">
        <v>30</v>
      </c>
      <c r="C11" s="24" t="s">
        <v>177</v>
      </c>
    </row>
    <row r="12" spans="1:3" x14ac:dyDescent="0.2">
      <c r="A12" s="33" t="s">
        <v>56</v>
      </c>
      <c r="B12" s="35">
        <v>10</v>
      </c>
      <c r="C12" s="24" t="s">
        <v>177</v>
      </c>
    </row>
    <row r="13" spans="1:3" x14ac:dyDescent="0.2">
      <c r="A13" s="33" t="s">
        <v>85</v>
      </c>
      <c r="B13" s="35">
        <v>20</v>
      </c>
      <c r="C13" s="24" t="s">
        <v>177</v>
      </c>
    </row>
    <row r="14" spans="1:3" x14ac:dyDescent="0.2">
      <c r="A14" s="33" t="s">
        <v>98</v>
      </c>
      <c r="B14" s="35">
        <v>40</v>
      </c>
      <c r="C14" s="24" t="s">
        <v>177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activeCell="K1" sqref="K1"/>
      <selection pane="bottomLeft" activeCell="AA8" sqref="AA8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0.6640625" style="1" bestFit="1" customWidth="1"/>
    <col min="4" max="4" width="11.83203125" style="23" bestFit="1" customWidth="1"/>
    <col min="5" max="5" width="10" style="1" bestFit="1" customWidth="1"/>
    <col min="6" max="6" width="11.1640625" style="23" bestFit="1" customWidth="1"/>
    <col min="7" max="9" width="5.83203125" style="1" bestFit="1" customWidth="1"/>
    <col min="10" max="12" width="7.83203125" style="1" bestFit="1" customWidth="1"/>
    <col min="13" max="15" width="7" style="1" bestFit="1" customWidth="1"/>
    <col min="16" max="18" width="5.83203125" style="1" bestFit="1" customWidth="1"/>
    <col min="19" max="20" width="7.5" style="1" bestFit="1" customWidth="1"/>
    <col min="21" max="23" width="6.1640625" style="1" bestFit="1" customWidth="1"/>
    <col min="24" max="24" width="12.1640625" style="43" bestFit="1" customWidth="1"/>
    <col min="25" max="16384" width="9" style="1"/>
  </cols>
  <sheetData>
    <row r="1" spans="1:24" s="3" customForma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2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7" priority="8"/>
  </conditionalFormatting>
  <conditionalFormatting sqref="B1:B1048576">
    <cfRule type="duplicateValues" dxfId="6" priority="7"/>
  </conditionalFormatting>
  <conditionalFormatting sqref="G2:W40">
    <cfRule type="cellIs" dxfId="5" priority="6" operator="equal">
      <formula>0</formula>
    </cfRule>
  </conditionalFormatting>
  <conditionalFormatting sqref="G1:W40">
    <cfRule type="cellIs" dxfId="4" priority="1" operator="equal">
      <formula>0</formula>
    </cfRule>
    <cfRule type="cellIs" dxfId="3" priority="2" operator="equal">
      <formula>-1</formula>
    </cfRule>
    <cfRule type="cellIs" dxfId="2" priority="5" operator="equal">
      <formula>-1</formula>
    </cfRule>
  </conditionalFormatting>
  <conditionalFormatting sqref="J29">
    <cfRule type="cellIs" dxfId="1" priority="3" operator="equal">
      <formula>-1</formula>
    </cfRule>
    <cfRule type="cellIs" dxfId="0" priority="4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3" sqref="B13"/>
    </sheetView>
  </sheetViews>
  <sheetFormatPr defaultColWidth="11" defaultRowHeight="15" x14ac:dyDescent="0.25"/>
  <cols>
    <col min="1" max="1" width="9" style="1" bestFit="1" customWidth="1"/>
    <col min="2" max="2" width="72.83203125" style="1" bestFit="1" customWidth="1"/>
    <col min="3" max="3" width="13" style="1" bestFit="1" customWidth="1"/>
    <col min="4" max="4" width="33.5" style="1" bestFit="1" customWidth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D3" s="49" t="s">
        <v>177</v>
      </c>
      <c r="E3" s="1">
        <v>5</v>
      </c>
    </row>
    <row r="4" spans="1:5" x14ac:dyDescent="0.25">
      <c r="A4" s="6">
        <v>2</v>
      </c>
      <c r="B4" s="2" t="s">
        <v>46</v>
      </c>
      <c r="C4" s="2"/>
      <c r="D4" s="49" t="s">
        <v>177</v>
      </c>
      <c r="E4" s="1">
        <v>5</v>
      </c>
    </row>
    <row r="5" spans="1:5" x14ac:dyDescent="0.25">
      <c r="A5" s="6">
        <v>3</v>
      </c>
      <c r="B5" s="2" t="s">
        <v>104</v>
      </c>
      <c r="C5" s="32">
        <f>SUMIF(Dataset!H1:H40,"&gt;20",Dataset!H1:H40)</f>
        <v>1473.0000000000002</v>
      </c>
      <c r="D5" s="50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D6" s="49" t="s">
        <v>177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I30"/>
  <sheetViews>
    <sheetView zoomScaleNormal="100" workbookViewId="0">
      <selection activeCell="H5" sqref="H5"/>
    </sheetView>
  </sheetViews>
  <sheetFormatPr defaultColWidth="11" defaultRowHeight="12.75" x14ac:dyDescent="0.2"/>
  <cols>
    <col min="1" max="1" width="20.83203125" style="2" bestFit="1" customWidth="1"/>
    <col min="2" max="2" width="12.33203125" style="2" customWidth="1"/>
    <col min="3" max="3" width="7" style="2" bestFit="1" customWidth="1"/>
    <col min="4" max="4" width="6.5" style="2" bestFit="1" customWidth="1"/>
    <col min="5" max="5" width="7.5" style="2" bestFit="1" customWidth="1"/>
    <col min="6" max="6" width="6.5" style="2" bestFit="1" customWidth="1"/>
    <col min="7" max="7" width="11" style="2"/>
    <col min="8" max="8" width="14.33203125" style="2" bestFit="1" customWidth="1"/>
    <col min="9" max="9" width="41.1640625" style="2" bestFit="1" customWidth="1"/>
    <col min="10" max="16384" width="11" style="2"/>
  </cols>
  <sheetData>
    <row r="1" spans="1:9" s="39" customFormat="1" ht="21" x14ac:dyDescent="0.35">
      <c r="A1" s="40" t="s">
        <v>55</v>
      </c>
      <c r="B1" s="39" t="s">
        <v>164</v>
      </c>
    </row>
    <row r="2" spans="1:9" s="39" customFormat="1" ht="21" x14ac:dyDescent="0.35">
      <c r="B2" s="39" t="s">
        <v>161</v>
      </c>
    </row>
    <row r="3" spans="1:9" ht="15" x14ac:dyDescent="0.25">
      <c r="A3" s="1"/>
      <c r="B3" s="1"/>
      <c r="C3" s="1"/>
      <c r="D3" s="1"/>
      <c r="E3" s="1"/>
      <c r="F3" s="1"/>
      <c r="G3" s="1"/>
    </row>
    <row r="4" spans="1:9" ht="23.25" x14ac:dyDescent="0.35">
      <c r="A4" s="17" t="s">
        <v>162</v>
      </c>
      <c r="B4" s="1"/>
      <c r="C4" s="1"/>
      <c r="D4" s="1"/>
      <c r="E4" s="1"/>
      <c r="F4" s="1"/>
      <c r="G4" s="1"/>
      <c r="I4" s="48" t="s">
        <v>181</v>
      </c>
    </row>
    <row r="5" spans="1:9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I5" s="48" t="s">
        <v>177</v>
      </c>
    </row>
    <row r="6" spans="1:9" ht="15" x14ac:dyDescent="0.25">
      <c r="A6" s="7" t="s">
        <v>40</v>
      </c>
      <c r="B6" s="11">
        <f>VLOOKUP(A6,Dataset!A1:X40,7,0)</f>
        <v>2.7</v>
      </c>
      <c r="C6" s="11">
        <f>VLOOKUP(A6,Dataset!A1:X40,13,0)</f>
        <v>5.3</v>
      </c>
      <c r="D6" s="11">
        <f>VLOOKUP(A6,Dataset!A1:X40,16,0)</f>
        <v>2.7</v>
      </c>
      <c r="E6" s="11">
        <f>VLOOKUP(A6, Dataset!A1:X40,19,0)</f>
        <v>7.6</v>
      </c>
      <c r="F6" s="8">
        <f>VLOOKUP(A6,Dataset!A1:X40,21,0)</f>
        <v>3.6</v>
      </c>
    </row>
    <row r="7" spans="1:9" ht="15" x14ac:dyDescent="0.25">
      <c r="A7" s="7" t="s">
        <v>4</v>
      </c>
      <c r="B7" s="11">
        <f>VLOOKUP(A7,Dataset!A2:X41,7,0)</f>
        <v>2.7</v>
      </c>
      <c r="C7" s="11">
        <f>VLOOKUP(A7,Dataset!A2:X41,13,0)</f>
        <v>5.3</v>
      </c>
      <c r="D7" s="11">
        <f>VLOOKUP(A7,Dataset!A2:X41,16,0)</f>
        <v>2.7</v>
      </c>
      <c r="E7" s="11">
        <f>VLOOKUP(A7, Dataset!A2:X41,19,0)</f>
        <v>7.6</v>
      </c>
      <c r="F7" s="8">
        <f>VLOOKUP(A7,Dataset!A2:X41,21,0)</f>
        <v>3.6</v>
      </c>
    </row>
    <row r="8" spans="1:9" ht="15" x14ac:dyDescent="0.25">
      <c r="A8" s="7" t="s">
        <v>7</v>
      </c>
      <c r="B8" s="11">
        <f>VLOOKUP(A8,Dataset!A3:X42,7,0)</f>
        <v>3.6</v>
      </c>
      <c r="C8" s="11">
        <f>VLOOKUP(A8,Dataset!A3:X42,13,0)</f>
        <v>7.6</v>
      </c>
      <c r="D8" s="11">
        <f>VLOOKUP(A8,Dataset!A3:X42,16,0)</f>
        <v>3.6</v>
      </c>
      <c r="E8" s="11">
        <f>VLOOKUP(A8, Dataset!A3:X42,19,0)</f>
        <v>11.1</v>
      </c>
      <c r="F8" s="8">
        <f>VLOOKUP(A8,Dataset!A3:X42,21,0)</f>
        <v>5.4</v>
      </c>
    </row>
    <row r="9" spans="1:9" ht="15" x14ac:dyDescent="0.25">
      <c r="A9" s="7" t="s">
        <v>8</v>
      </c>
      <c r="B9" s="11">
        <f>VLOOKUP(A9,Dataset!A4:X43,7,0)</f>
        <v>4.9000000000000004</v>
      </c>
      <c r="C9" s="11">
        <f>VLOOKUP(A9,Dataset!A4:X43,13,0)</f>
        <v>10</v>
      </c>
      <c r="D9" s="11">
        <f>VLOOKUP(A9,Dataset!A4:X43,16,0)</f>
        <v>4.9000000000000004</v>
      </c>
      <c r="E9" s="11">
        <f>VLOOKUP(A9, Dataset!A4:X43,19,0)</f>
        <v>13.3</v>
      </c>
      <c r="F9" s="8">
        <f>VLOOKUP(A9,Dataset!A4:X43,21,0)</f>
        <v>6.6</v>
      </c>
    </row>
    <row r="10" spans="1:9" ht="15" x14ac:dyDescent="0.25">
      <c r="A10" s="7" t="s">
        <v>11</v>
      </c>
      <c r="B10" s="11">
        <f>VLOOKUP(A10,Dataset!A5:X44,7,0)</f>
        <v>9.4</v>
      </c>
      <c r="C10" s="11">
        <f>VLOOKUP(A10,Dataset!A5:X44,13,0)</f>
        <v>19.2</v>
      </c>
      <c r="D10" s="11">
        <f>VLOOKUP(A10,Dataset!A5:X44,16,0)</f>
        <v>9.4</v>
      </c>
      <c r="E10" s="11">
        <f>VLOOKUP(A10, Dataset!A5:X44,19,0)</f>
        <v>28.3</v>
      </c>
      <c r="F10" s="8">
        <f>VLOOKUP(A10,Dataset!A5:X44,21,0)</f>
        <v>13.8</v>
      </c>
    </row>
    <row r="11" spans="1:9" ht="15" x14ac:dyDescent="0.25">
      <c r="A11" s="7" t="s">
        <v>12</v>
      </c>
      <c r="B11" s="11">
        <f>VLOOKUP(A11,Dataset!A6:X45,7,0)</f>
        <v>11.6</v>
      </c>
      <c r="C11" s="11">
        <f>VLOOKUP(A11,Dataset!A6:X45,13,0)</f>
        <v>23.6</v>
      </c>
      <c r="D11" s="11">
        <f>VLOOKUP(A11,Dataset!A6:X45,16,0)</f>
        <v>11.6</v>
      </c>
      <c r="E11" s="11">
        <f>VLOOKUP(A11, Dataset!A6:X45,19,0)</f>
        <v>35.200000000000003</v>
      </c>
      <c r="F11" s="8">
        <f>VLOOKUP(A11,Dataset!A6:X45,21,0)</f>
        <v>17.3</v>
      </c>
    </row>
    <row r="12" spans="1:9" ht="15" x14ac:dyDescent="0.25">
      <c r="A12" s="7" t="s">
        <v>14</v>
      </c>
      <c r="B12" s="11">
        <f>VLOOKUP(A12,Dataset!A7:X46,7,0)</f>
        <v>18.399999999999999</v>
      </c>
      <c r="C12" s="11">
        <f>VLOOKUP(A12,Dataset!A7:X46,13,0)</f>
        <v>37.200000000000003</v>
      </c>
      <c r="D12" s="11">
        <f>VLOOKUP(A12,Dataset!A7:X46,16,0)</f>
        <v>18.399999999999999</v>
      </c>
      <c r="E12" s="11">
        <f>VLOOKUP(A12, Dataset!A7:X46,19,0)</f>
        <v>55.6</v>
      </c>
      <c r="F12" s="8">
        <f>VLOOKUP(A12,Dataset!A7:X46,21,0)</f>
        <v>27.5</v>
      </c>
    </row>
    <row r="13" spans="1:9" ht="15" x14ac:dyDescent="0.25">
      <c r="A13" s="7" t="s">
        <v>15</v>
      </c>
      <c r="B13" s="11">
        <f>VLOOKUP(A13,Dataset!A8:X47,7,0)</f>
        <v>0</v>
      </c>
      <c r="C13" s="11">
        <f>VLOOKUP(A13,Dataset!A8:X47,13,0)</f>
        <v>0</v>
      </c>
      <c r="D13" s="11">
        <f>VLOOKUP(A13,Dataset!A8:X47,16,0)</f>
        <v>0</v>
      </c>
      <c r="E13" s="11">
        <f>VLOOKUP(A13, Dataset!A8:X47,19,0)</f>
        <v>0</v>
      </c>
      <c r="F13" s="8">
        <f>VLOOKUP(A13,Dataset!A8:X47,21,0)</f>
        <v>0</v>
      </c>
    </row>
    <row r="14" spans="1:9" ht="15" x14ac:dyDescent="0.25">
      <c r="A14" s="7" t="s">
        <v>16</v>
      </c>
      <c r="B14" s="11">
        <f>VLOOKUP(A14,Dataset!A9:X48,7,0)</f>
        <v>21.9</v>
      </c>
      <c r="C14" s="11">
        <f>VLOOKUP(A14,Dataset!A9:X48,13,0)</f>
        <v>42.3</v>
      </c>
      <c r="D14" s="11">
        <f>VLOOKUP(A14,Dataset!A9:X48,16,0)</f>
        <v>21.9</v>
      </c>
      <c r="E14" s="11">
        <f>VLOOKUP(A14, Dataset!A9:X48,19,0)</f>
        <v>61.5</v>
      </c>
      <c r="F14" s="8">
        <f>VLOOKUP(A14,Dataset!A9:X48,21,0)</f>
        <v>32.1</v>
      </c>
    </row>
    <row r="15" spans="1:9" ht="15" x14ac:dyDescent="0.25">
      <c r="A15" s="7" t="s">
        <v>18</v>
      </c>
      <c r="B15" s="11">
        <f>VLOOKUP(A15,Dataset!A10:X49,7,0)</f>
        <v>26.8</v>
      </c>
      <c r="C15" s="11">
        <f>VLOOKUP(A15,Dataset!A10:X49,13,0)</f>
        <v>54.6</v>
      </c>
      <c r="D15" s="11">
        <f>VLOOKUP(A15,Dataset!A10:X49,16,0)</f>
        <v>26.8</v>
      </c>
      <c r="E15" s="11">
        <f>VLOOKUP(A15, Dataset!A10:X49,19,0)</f>
        <v>79.599999999999994</v>
      </c>
      <c r="F15" s="8">
        <f>VLOOKUP(A15,Dataset!A10:X49,21,0)</f>
        <v>39.299999999999997</v>
      </c>
    </row>
    <row r="16" spans="1:9" ht="15" x14ac:dyDescent="0.25">
      <c r="A16" s="7" t="s">
        <v>20</v>
      </c>
      <c r="B16" s="11">
        <f>VLOOKUP(A16,Dataset!A11:X50,7,0)</f>
        <v>28.5</v>
      </c>
      <c r="C16" s="11">
        <f>VLOOKUP(A16,Dataset!A11:X50,13,0)</f>
        <v>58.3</v>
      </c>
      <c r="D16" s="11">
        <f>VLOOKUP(A16,Dataset!A11:X50,16,0)</f>
        <v>28.5</v>
      </c>
      <c r="E16" s="11">
        <f>VLOOKUP(A16, Dataset!A11:X50,19,0)</f>
        <v>85.4</v>
      </c>
      <c r="F16" s="8">
        <f>VLOOKUP(A16,Dataset!A11:X50,21,0)</f>
        <v>42.3</v>
      </c>
    </row>
    <row r="17" spans="1:6" ht="15" x14ac:dyDescent="0.25">
      <c r="A17" s="7" t="s">
        <v>22</v>
      </c>
      <c r="B17" s="11">
        <f>VLOOKUP(A17,Dataset!A12:X51,7,0)</f>
        <v>30.7</v>
      </c>
      <c r="C17" s="11">
        <f>VLOOKUP(A17,Dataset!A12:X51,13,0)</f>
        <v>62.5</v>
      </c>
      <c r="D17" s="11">
        <f>VLOOKUP(A17,Dataset!A12:X51,16,0)</f>
        <v>30.7</v>
      </c>
      <c r="E17" s="11">
        <f>VLOOKUP(A17, Dataset!A12:X51,19,0)</f>
        <v>92.1</v>
      </c>
      <c r="F17" s="8">
        <f>VLOOKUP(A17,Dataset!A12:X51,21,0)</f>
        <v>45.5</v>
      </c>
    </row>
    <row r="18" spans="1:6" ht="15" x14ac:dyDescent="0.25">
      <c r="A18" s="7" t="s">
        <v>23</v>
      </c>
      <c r="B18" s="11">
        <f>VLOOKUP(A18,Dataset!A13:X52,7,0)</f>
        <v>33.799999999999997</v>
      </c>
      <c r="C18" s="11">
        <f>VLOOKUP(A18,Dataset!A13:X52,13,0)</f>
        <v>67.900000000000006</v>
      </c>
      <c r="D18" s="11">
        <f>VLOOKUP(A18,Dataset!A13:X52,16,0)</f>
        <v>33.799999999999997</v>
      </c>
      <c r="E18" s="11">
        <f>VLOOKUP(A18, Dataset!A13:X52,19,0)</f>
        <v>101.3</v>
      </c>
      <c r="F18" s="8">
        <f>VLOOKUP(A18,Dataset!A13:X52,21,0)</f>
        <v>50.1</v>
      </c>
    </row>
    <row r="19" spans="1:6" ht="15" x14ac:dyDescent="0.25">
      <c r="A19" s="7" t="s">
        <v>24</v>
      </c>
      <c r="B19" s="11">
        <f>VLOOKUP(A19,Dataset!A14:X53,7,0)</f>
        <v>34.700000000000003</v>
      </c>
      <c r="C19" s="11">
        <f>VLOOKUP(A19,Dataset!A14:X53,13,0)</f>
        <v>70.8</v>
      </c>
      <c r="D19" s="11">
        <f>VLOOKUP(A19,Dataset!A14:X53,16,0)</f>
        <v>34.700000000000003</v>
      </c>
      <c r="E19" s="11">
        <f>VLOOKUP(A19, Dataset!A14:X53,19,0)</f>
        <v>106.1</v>
      </c>
      <c r="F19" s="8">
        <f>VLOOKUP(A19,Dataset!A14:X53,21,0)</f>
        <v>52.3</v>
      </c>
    </row>
    <row r="20" spans="1:6" ht="15" x14ac:dyDescent="0.25">
      <c r="A20" s="7" t="s">
        <v>28</v>
      </c>
      <c r="B20" s="11">
        <f>VLOOKUP(A20,Dataset!A15:X54,7,0)</f>
        <v>0</v>
      </c>
      <c r="C20" s="11">
        <f>VLOOKUP(A20,Dataset!A15:X54,13,0)</f>
        <v>0</v>
      </c>
      <c r="D20" s="11">
        <f>VLOOKUP(A20,Dataset!A15:X54,16,0)</f>
        <v>0</v>
      </c>
      <c r="E20" s="11">
        <f>VLOOKUP(A20, Dataset!A15:X54,19,0)</f>
        <v>0</v>
      </c>
      <c r="F20" s="8">
        <f>VLOOKUP(A20,Dataset!A15:X54,21,0)</f>
        <v>0</v>
      </c>
    </row>
    <row r="21" spans="1:6" ht="15" x14ac:dyDescent="0.25">
      <c r="A21" s="7" t="s">
        <v>57</v>
      </c>
      <c r="B21" s="11">
        <f>VLOOKUP(A21,Dataset!A16:X55,7,0)</f>
        <v>41.3</v>
      </c>
      <c r="C21" s="11">
        <f>VLOOKUP(A21,Dataset!A16:X55,13,0)</f>
        <v>83.5</v>
      </c>
      <c r="D21" s="11">
        <f>VLOOKUP(A21,Dataset!A16:X55,16,0)</f>
        <v>41.3</v>
      </c>
      <c r="E21" s="11">
        <f>VLOOKUP(A21, Dataset!A16:X55,19,0)</f>
        <v>124.4</v>
      </c>
      <c r="F21" s="8">
        <f>VLOOKUP(A21,Dataset!A16:X55,21,0)</f>
        <v>61.4</v>
      </c>
    </row>
    <row r="22" spans="1:6" ht="15" x14ac:dyDescent="0.25">
      <c r="A22" s="7" t="s">
        <v>58</v>
      </c>
      <c r="B22" s="11">
        <f>VLOOKUP(A22,Dataset!A17:X56,7,0)</f>
        <v>-1</v>
      </c>
      <c r="C22" s="11">
        <f>VLOOKUP(A22,Dataset!A17:X56,13,0)</f>
        <v>-1</v>
      </c>
      <c r="D22" s="11">
        <f>VLOOKUP(A22,Dataset!A17:X56,16,0)</f>
        <v>-1</v>
      </c>
      <c r="E22" s="11">
        <f>VLOOKUP(A22, Dataset!A17:X56,19,0)</f>
        <v>-1</v>
      </c>
      <c r="F22" s="8">
        <f>VLOOKUP(A22,Dataset!A17:X56,21,0)</f>
        <v>-1</v>
      </c>
    </row>
    <row r="23" spans="1:6" ht="15" x14ac:dyDescent="0.25">
      <c r="A23" s="7" t="s">
        <v>31</v>
      </c>
      <c r="B23" s="11">
        <f>VLOOKUP(A23,Dataset!A18:X57,7,0)</f>
        <v>45</v>
      </c>
      <c r="C23" s="11">
        <f>VLOOKUP(A23,Dataset!A18:X57,13,0)</f>
        <v>90.9</v>
      </c>
      <c r="D23" s="11">
        <f>VLOOKUP(A23,Dataset!A18:X57,16,0)</f>
        <v>45</v>
      </c>
      <c r="E23" s="11">
        <f>VLOOKUP(A23, Dataset!A18:X57,19,0)</f>
        <v>133.4</v>
      </c>
      <c r="F23" s="8">
        <f>VLOOKUP(A23,Dataset!A18:X57,21,0)</f>
        <v>65.900000000000006</v>
      </c>
    </row>
    <row r="24" spans="1:6" ht="15" x14ac:dyDescent="0.25">
      <c r="A24" s="7" t="s">
        <v>32</v>
      </c>
      <c r="B24" s="11">
        <f>VLOOKUP(A24,Dataset!A19:X58,7,0)</f>
        <v>-1</v>
      </c>
      <c r="C24" s="11">
        <f>VLOOKUP(A24,Dataset!A19:X58,13,0)</f>
        <v>-1</v>
      </c>
      <c r="D24" s="11">
        <f>VLOOKUP(A24,Dataset!A19:X58,16,0)</f>
        <v>-1</v>
      </c>
      <c r="E24" s="11">
        <f>VLOOKUP(A24, Dataset!A19:X58,19,0)</f>
        <v>-1</v>
      </c>
      <c r="F24" s="8">
        <f>VLOOKUP(A24,Dataset!A19:X58,21,0)</f>
        <v>-1</v>
      </c>
    </row>
    <row r="25" spans="1:6" ht="15" x14ac:dyDescent="0.25">
      <c r="A25" s="7" t="s">
        <v>34</v>
      </c>
      <c r="B25" s="11">
        <f>VLOOKUP(A25,Dataset!A20:X59,7,0)</f>
        <v>43.3</v>
      </c>
      <c r="C25" s="11">
        <f>VLOOKUP(A25,Dataset!A20:X59,13,0)</f>
        <v>87.6</v>
      </c>
      <c r="D25" s="11">
        <f>VLOOKUP(A25,Dataset!A20:X59,16,0)</f>
        <v>43.3</v>
      </c>
      <c r="E25" s="11">
        <f>VLOOKUP(A25, Dataset!A20:X59,19,0)</f>
        <v>128.6</v>
      </c>
      <c r="F25" s="8">
        <f>VLOOKUP(A25,Dataset!A20:X59,21,0)</f>
        <v>63.6</v>
      </c>
    </row>
    <row r="26" spans="1:6" ht="15" x14ac:dyDescent="0.25">
      <c r="A26" s="7" t="s">
        <v>37</v>
      </c>
      <c r="B26" s="11">
        <f>VLOOKUP(A26,Dataset!A21:X60,7,0)</f>
        <v>49.1</v>
      </c>
      <c r="C26" s="11">
        <f>VLOOKUP(A26,Dataset!A21:X60,13,0)</f>
        <v>99.5</v>
      </c>
      <c r="D26" s="11">
        <f>VLOOKUP(A26,Dataset!A21:X60,16,0)</f>
        <v>49.1</v>
      </c>
      <c r="E26" s="11">
        <f>VLOOKUP(A26, Dataset!A21:X60,19,0)</f>
        <v>146.80000000000001</v>
      </c>
      <c r="F26" s="8">
        <f>VLOOKUP(A26,Dataset!A21:X60,21,0)</f>
        <v>72.8</v>
      </c>
    </row>
    <row r="27" spans="1:6" ht="15" x14ac:dyDescent="0.25">
      <c r="A27" s="7" t="s">
        <v>39</v>
      </c>
      <c r="B27" s="11">
        <f>VLOOKUP(A27,Dataset!A22:X61,7,0)</f>
        <v>51.8</v>
      </c>
      <c r="C27" s="11">
        <f>VLOOKUP(A27,Dataset!A22:X61,13,0)</f>
        <v>104.5</v>
      </c>
      <c r="D27" s="11">
        <f>VLOOKUP(A27,Dataset!A22:X61,16,0)</f>
        <v>51.8</v>
      </c>
      <c r="E27" s="11">
        <f>VLOOKUP(A27, Dataset!A22:X61,19,0)</f>
        <v>156.4</v>
      </c>
      <c r="F27" s="8">
        <f>VLOOKUP(A27,Dataset!A22:X61,21,0)</f>
        <v>77.2</v>
      </c>
    </row>
    <row r="28" spans="1:6" ht="15" x14ac:dyDescent="0.25">
      <c r="A28" s="45" t="s">
        <v>82</v>
      </c>
      <c r="B28" s="46">
        <f>MIN(B6:B27)</f>
        <v>-1</v>
      </c>
      <c r="C28" s="46">
        <f>MIN(C6:C27)</f>
        <v>-1</v>
      </c>
      <c r="D28" s="46">
        <f t="shared" ref="D28:F28" si="0">MIN(D6:D27)</f>
        <v>-1</v>
      </c>
      <c r="E28" s="46">
        <f t="shared" si="0"/>
        <v>-1</v>
      </c>
      <c r="F28" s="46">
        <f t="shared" si="0"/>
        <v>-1</v>
      </c>
    </row>
    <row r="29" spans="1:6" ht="15" x14ac:dyDescent="0.25">
      <c r="A29" s="45" t="s">
        <v>83</v>
      </c>
      <c r="B29" s="46">
        <f>MAX(B5:B27)</f>
        <v>51.8</v>
      </c>
      <c r="C29" s="46">
        <f>MAX(C5:C27)</f>
        <v>104.5</v>
      </c>
      <c r="D29" s="46">
        <f t="shared" ref="D29:F29" si="1">MAX(D5:D27)</f>
        <v>51.8</v>
      </c>
      <c r="E29" s="46">
        <f t="shared" si="1"/>
        <v>156.4</v>
      </c>
      <c r="F29" s="46">
        <f t="shared" si="1"/>
        <v>77.2</v>
      </c>
    </row>
    <row r="30" spans="1:6" ht="15" x14ac:dyDescent="0.25">
      <c r="A30" s="45" t="s">
        <v>84</v>
      </c>
      <c r="B30" s="47">
        <f>AVERAGE(B6:B27)</f>
        <v>20.827272727272728</v>
      </c>
      <c r="C30" s="47">
        <f>AVERAGE(C6:C27)</f>
        <v>42.209090909090904</v>
      </c>
      <c r="D30" s="47">
        <f t="shared" ref="D30:F30" si="2">AVERAGE(D6:D27)</f>
        <v>20.827272727272728</v>
      </c>
      <c r="E30" s="47">
        <f t="shared" si="2"/>
        <v>62.377272727272725</v>
      </c>
      <c r="F30" s="47">
        <f t="shared" si="2"/>
        <v>30.831818181818186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6" sqref="I16"/>
    </sheetView>
  </sheetViews>
  <sheetFormatPr defaultColWidth="11" defaultRowHeight="15" x14ac:dyDescent="0.25"/>
  <cols>
    <col min="1" max="1" width="40" style="1" bestFit="1" customWidth="1"/>
    <col min="2" max="2" width="9.1640625" style="1" customWidth="1"/>
    <col min="3" max="3" width="9.5" style="1" bestFit="1" customWidth="1"/>
    <col min="4" max="4" width="6.5" style="1" bestFit="1" customWidth="1"/>
    <col min="5" max="5" width="8.6640625" style="1" bestFit="1" customWidth="1"/>
    <col min="6" max="6" width="6.5" style="1" bestFit="1" customWidth="1"/>
    <col min="7" max="7" width="11" style="1"/>
    <col min="8" max="8" width="9.33203125" style="1" bestFit="1" customWidth="1"/>
    <col min="9" max="9" width="115.6640625" style="1" customWidth="1"/>
    <col min="10" max="10" width="13.5" style="1" bestFit="1" customWidth="1"/>
    <col min="11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/>
      <c r="H5" s="55" t="s">
        <v>188</v>
      </c>
      <c r="I5" s="18" t="s">
        <v>183</v>
      </c>
      <c r="J5" s="18" t="s">
        <v>189</v>
      </c>
    </row>
    <row r="6" spans="1:10" ht="18.75" x14ac:dyDescent="0.3">
      <c r="A6" s="41" t="s">
        <v>153</v>
      </c>
      <c r="B6" s="38"/>
      <c r="H6" s="18" t="s">
        <v>49</v>
      </c>
      <c r="I6" s="54" t="s">
        <v>190</v>
      </c>
      <c r="J6" s="16" t="s">
        <v>195</v>
      </c>
    </row>
    <row r="7" spans="1:10" ht="18.75" x14ac:dyDescent="0.3">
      <c r="A7" s="41"/>
      <c r="B7" s="38"/>
      <c r="H7" s="18" t="s">
        <v>50</v>
      </c>
      <c r="I7" s="54" t="s">
        <v>191</v>
      </c>
      <c r="J7" s="16" t="s">
        <v>196</v>
      </c>
    </row>
    <row r="8" spans="1:10" x14ac:dyDescent="0.25">
      <c r="H8" s="18" t="s">
        <v>51</v>
      </c>
      <c r="I8" s="54" t="s">
        <v>192</v>
      </c>
      <c r="J8" s="16" t="s">
        <v>197</v>
      </c>
    </row>
    <row r="9" spans="1:10" ht="23.25" x14ac:dyDescent="0.35">
      <c r="A9" s="17" t="s">
        <v>165</v>
      </c>
      <c r="H9" s="18" t="s">
        <v>52</v>
      </c>
      <c r="I9" s="54" t="s">
        <v>193</v>
      </c>
      <c r="J9" s="16" t="s">
        <v>198</v>
      </c>
    </row>
    <row r="10" spans="1:10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H10" s="18" t="s">
        <v>54</v>
      </c>
      <c r="I10" s="54" t="s">
        <v>194</v>
      </c>
      <c r="J10" s="16" t="s">
        <v>199</v>
      </c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 t="str">
        <f t="shared" ref="B16:B54" si="0">LEFT(A16,FIND("-",A16)-1)</f>
        <v>20000</v>
      </c>
      <c r="C16" s="1" t="str">
        <f t="shared" ref="C16:C54" si="1">MID(A16, FIND("-", A16) + 1, FIND("-", MID(A16, FIND("-", A16) + 1, LEN(A16))) - 1)</f>
        <v>Monday</v>
      </c>
      <c r="D16" s="11" t="str">
        <f t="shared" ref="D16:D54" si="2">TRIM(MID(SUBSTITUTE(MID(A16, FIND("-", A16) + 1, LEN(A16)), "-", REPT(" ", LEN(A16))), LEN(A16), LEN(A16)))</f>
        <v>0</v>
      </c>
      <c r="E16" s="1" t="str">
        <f>TRIM(MID(SUBSTITUTE(MID(A16, FIND("-", A16) + 1, LEN(A16)), "-", REPT(" ", LEN(A16))), LEN(A16) * 2, LEN(A16)))</f>
        <v>Sunday</v>
      </c>
      <c r="F16" s="11" t="str">
        <f>RIGHT(A16,FIND("-",A16)-4)</f>
        <v>24</v>
      </c>
    </row>
    <row r="17" spans="1:6" x14ac:dyDescent="0.25">
      <c r="A17" s="7" t="s">
        <v>122</v>
      </c>
      <c r="B17" s="11" t="str">
        <f t="shared" si="0"/>
        <v>20002</v>
      </c>
      <c r="C17" s="1" t="str">
        <f t="shared" si="1"/>
        <v>Monday</v>
      </c>
      <c r="D17" s="11" t="str">
        <f t="shared" si="2"/>
        <v>0</v>
      </c>
      <c r="E17" s="1" t="str">
        <f t="shared" ref="E17:E54" si="3">TRIM(MID(SUBSTITUTE(MID(A17, FIND("-", A17) + 1, LEN(A17)), "-", REPT(" ", LEN(A17))), LEN(A17) * 2, LEN(A17)))</f>
        <v>Sunday</v>
      </c>
      <c r="F17" s="11" t="str">
        <f t="shared" ref="F17:F54" si="4">RIGHT(A17,FIND("-",A17)-4)</f>
        <v>24</v>
      </c>
    </row>
    <row r="18" spans="1:6" x14ac:dyDescent="0.2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5" sqref="A1:XFD104857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44" t="s">
        <v>187</v>
      </c>
    </row>
    <row r="7" spans="1:3" ht="15" x14ac:dyDescent="0.25">
      <c r="A7" s="3" t="s">
        <v>153</v>
      </c>
      <c r="B7" s="44" t="s">
        <v>178</v>
      </c>
    </row>
    <row r="8" spans="1:3" ht="15" x14ac:dyDescent="0.25">
      <c r="B8" s="44" t="s">
        <v>179</v>
      </c>
    </row>
    <row r="9" spans="1:3" ht="15" x14ac:dyDescent="0.25">
      <c r="B9" s="44" t="s">
        <v>180</v>
      </c>
    </row>
    <row r="10" spans="1:3" ht="23.25" x14ac:dyDescent="0.35">
      <c r="A10" s="17" t="s">
        <v>162</v>
      </c>
    </row>
    <row r="11" spans="1:3" ht="15" x14ac:dyDescent="0.25">
      <c r="A11" s="30" t="s">
        <v>86</v>
      </c>
      <c r="B11" s="16" t="s">
        <v>87</v>
      </c>
      <c r="C11" s="16" t="s">
        <v>88</v>
      </c>
    </row>
    <row r="12" spans="1:3" ht="15" x14ac:dyDescent="0.25">
      <c r="A12" s="30">
        <v>44927</v>
      </c>
      <c r="B12" s="16" t="s">
        <v>59</v>
      </c>
      <c r="C12" s="16">
        <v>200</v>
      </c>
    </row>
    <row r="13" spans="1:3" ht="15" x14ac:dyDescent="0.25">
      <c r="A13" s="30">
        <v>44928</v>
      </c>
      <c r="B13" s="16" t="s">
        <v>60</v>
      </c>
      <c r="C13" s="16" t="e">
        <v>#N/A</v>
      </c>
    </row>
    <row r="14" spans="1:3" ht="15" x14ac:dyDescent="0.25">
      <c r="A14" s="30">
        <v>44929</v>
      </c>
      <c r="B14" s="16" t="s">
        <v>61</v>
      </c>
      <c r="C14" s="16">
        <v>50</v>
      </c>
    </row>
    <row r="15" spans="1:3" ht="15" x14ac:dyDescent="0.25">
      <c r="A15" s="30">
        <v>44930</v>
      </c>
      <c r="B15" s="16" t="s">
        <v>62</v>
      </c>
      <c r="C15" s="16" t="e">
        <v>#N/A</v>
      </c>
    </row>
    <row r="16" spans="1:3" ht="15" x14ac:dyDescent="0.25">
      <c r="A16" s="30">
        <v>44931</v>
      </c>
      <c r="B16" s="16" t="s">
        <v>63</v>
      </c>
      <c r="C16" s="16">
        <v>10</v>
      </c>
    </row>
    <row r="17" spans="1:3" ht="15" x14ac:dyDescent="0.25">
      <c r="A17" s="30">
        <v>44932</v>
      </c>
      <c r="B17" s="16" t="s">
        <v>154</v>
      </c>
      <c r="C17" s="16">
        <v>150</v>
      </c>
    </row>
    <row r="18" spans="1:3" ht="15" x14ac:dyDescent="0.25">
      <c r="A18" s="30">
        <v>44933</v>
      </c>
      <c r="B18" s="16" t="s">
        <v>155</v>
      </c>
      <c r="C18" s="16">
        <v>80</v>
      </c>
    </row>
    <row r="19" spans="1:3" ht="15" x14ac:dyDescent="0.25">
      <c r="A19" s="30">
        <v>44934</v>
      </c>
      <c r="B19" s="16" t="s">
        <v>156</v>
      </c>
      <c r="C19" s="16" t="e">
        <v>#N/A</v>
      </c>
    </row>
    <row r="20" spans="1:3" ht="15" x14ac:dyDescent="0.25">
      <c r="A20" s="30">
        <v>44935</v>
      </c>
      <c r="B20" s="16" t="s">
        <v>157</v>
      </c>
      <c r="C20" s="16">
        <v>30</v>
      </c>
    </row>
    <row r="21" spans="1:3" ht="15" x14ac:dyDescent="0.25">
      <c r="A21" s="30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SUM(IF(ISNUMBER(C12:C21),C12:C21,20))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J28"/>
  <sheetViews>
    <sheetView zoomScaleNormal="100" workbookViewId="0">
      <selection activeCell="M12" sqref="M12"/>
    </sheetView>
  </sheetViews>
  <sheetFormatPr defaultColWidth="11" defaultRowHeight="12.75" x14ac:dyDescent="0.2"/>
  <cols>
    <col min="1" max="1" width="28.1640625" style="2" bestFit="1" customWidth="1"/>
    <col min="2" max="2" width="11" style="2"/>
    <col min="3" max="3" width="8.5" style="2" bestFit="1" customWidth="1"/>
    <col min="4" max="12" width="11" style="2"/>
    <col min="13" max="13" width="15" style="2" bestFit="1" customWidth="1"/>
    <col min="14" max="16384" width="11" style="2"/>
  </cols>
  <sheetData>
    <row r="1" spans="1:10" ht="21" x14ac:dyDescent="0.35">
      <c r="A1" s="40" t="s">
        <v>98</v>
      </c>
      <c r="B1" s="39" t="s">
        <v>175</v>
      </c>
    </row>
    <row r="2" spans="1:10" ht="23.25" x14ac:dyDescent="0.35">
      <c r="A2" s="17" t="s">
        <v>162</v>
      </c>
    </row>
    <row r="3" spans="1:10" x14ac:dyDescent="0.2">
      <c r="A3" s="25"/>
      <c r="B3" s="25" t="s">
        <v>89</v>
      </c>
      <c r="C3" s="25" t="s">
        <v>90</v>
      </c>
      <c r="D3" s="25" t="s">
        <v>91</v>
      </c>
      <c r="E3" s="25" t="s">
        <v>92</v>
      </c>
      <c r="F3" s="25" t="s">
        <v>93</v>
      </c>
      <c r="G3" s="25" t="s">
        <v>94</v>
      </c>
      <c r="H3" s="25" t="s">
        <v>95</v>
      </c>
      <c r="I3" s="25" t="s">
        <v>96</v>
      </c>
      <c r="J3" s="25" t="s">
        <v>97</v>
      </c>
    </row>
    <row r="4" spans="1:10" x14ac:dyDescent="0.2">
      <c r="A4" s="25" t="s">
        <v>89</v>
      </c>
      <c r="B4" s="24">
        <v>-1</v>
      </c>
      <c r="C4" s="24">
        <v>95</v>
      </c>
      <c r="D4" s="24">
        <v>-1</v>
      </c>
      <c r="E4" s="24">
        <v>185</v>
      </c>
      <c r="F4" s="24">
        <v>255</v>
      </c>
      <c r="G4" s="24">
        <v>305</v>
      </c>
      <c r="H4" s="24">
        <v>415</v>
      </c>
      <c r="I4" s="24">
        <v>480</v>
      </c>
      <c r="J4" s="24">
        <v>525</v>
      </c>
    </row>
    <row r="5" spans="1:10" x14ac:dyDescent="0.2">
      <c r="A5" s="25" t="s">
        <v>90</v>
      </c>
      <c r="B5" s="24">
        <v>95</v>
      </c>
      <c r="C5" s="24">
        <v>-1</v>
      </c>
      <c r="D5" s="24">
        <v>-1</v>
      </c>
      <c r="E5" s="24">
        <v>90</v>
      </c>
      <c r="F5" s="24">
        <v>160</v>
      </c>
      <c r="G5" s="24">
        <v>210</v>
      </c>
      <c r="H5" s="24">
        <v>325</v>
      </c>
      <c r="I5" s="24">
        <v>390</v>
      </c>
      <c r="J5" s="24">
        <v>430</v>
      </c>
    </row>
    <row r="6" spans="1:10" x14ac:dyDescent="0.2">
      <c r="A6" s="25" t="s">
        <v>91</v>
      </c>
      <c r="B6" s="24">
        <v>-1</v>
      </c>
      <c r="C6" s="24">
        <v>-1</v>
      </c>
      <c r="D6" s="24">
        <v>-1</v>
      </c>
      <c r="E6" s="24">
        <v>60</v>
      </c>
      <c r="F6" s="24">
        <v>130</v>
      </c>
      <c r="G6" s="24">
        <v>180</v>
      </c>
      <c r="H6" s="24">
        <v>295</v>
      </c>
      <c r="I6" s="24">
        <v>355</v>
      </c>
      <c r="J6" s="24">
        <v>400</v>
      </c>
    </row>
    <row r="7" spans="1:10" x14ac:dyDescent="0.2">
      <c r="A7" s="25" t="s">
        <v>92</v>
      </c>
      <c r="B7" s="24">
        <v>185</v>
      </c>
      <c r="C7" s="24">
        <v>90</v>
      </c>
      <c r="D7" s="24">
        <v>60</v>
      </c>
      <c r="E7" s="24">
        <v>-1</v>
      </c>
      <c r="F7" s="24">
        <v>70</v>
      </c>
      <c r="G7" s="24">
        <v>120</v>
      </c>
      <c r="H7" s="24">
        <v>235</v>
      </c>
      <c r="I7" s="24">
        <v>300</v>
      </c>
      <c r="J7" s="24">
        <v>340</v>
      </c>
    </row>
    <row r="8" spans="1:10" x14ac:dyDescent="0.2">
      <c r="A8" s="25" t="s">
        <v>93</v>
      </c>
      <c r="B8" s="24">
        <v>255</v>
      </c>
      <c r="C8" s="24">
        <v>160</v>
      </c>
      <c r="D8" s="24">
        <v>130</v>
      </c>
      <c r="E8" s="24">
        <v>70</v>
      </c>
      <c r="F8" s="24">
        <v>-1</v>
      </c>
      <c r="G8" s="24">
        <v>50</v>
      </c>
      <c r="H8" s="24">
        <v>165</v>
      </c>
      <c r="I8" s="24">
        <v>230</v>
      </c>
      <c r="J8" s="24">
        <v>270</v>
      </c>
    </row>
    <row r="9" spans="1:10" x14ac:dyDescent="0.2">
      <c r="A9" s="25" t="s">
        <v>94</v>
      </c>
      <c r="B9" s="24">
        <v>305</v>
      </c>
      <c r="C9" s="24">
        <v>210</v>
      </c>
      <c r="D9" s="24">
        <v>180</v>
      </c>
      <c r="E9" s="24">
        <v>120</v>
      </c>
      <c r="F9" s="24">
        <v>50</v>
      </c>
      <c r="G9" s="24">
        <v>-1</v>
      </c>
      <c r="H9" s="24">
        <v>115</v>
      </c>
      <c r="I9" s="24">
        <v>180</v>
      </c>
      <c r="J9" s="24">
        <v>220</v>
      </c>
    </row>
    <row r="10" spans="1:10" x14ac:dyDescent="0.2">
      <c r="A10" s="25" t="s">
        <v>95</v>
      </c>
      <c r="B10" s="24">
        <v>415</v>
      </c>
      <c r="C10" s="24">
        <v>325</v>
      </c>
      <c r="D10" s="24">
        <v>295</v>
      </c>
      <c r="E10" s="24">
        <v>235</v>
      </c>
      <c r="F10" s="24">
        <v>165</v>
      </c>
      <c r="G10" s="24">
        <v>115</v>
      </c>
      <c r="H10" s="24">
        <v>-1</v>
      </c>
      <c r="I10" s="24">
        <v>65</v>
      </c>
      <c r="J10" s="24">
        <v>105</v>
      </c>
    </row>
    <row r="11" spans="1:10" x14ac:dyDescent="0.2">
      <c r="A11" s="25" t="s">
        <v>96</v>
      </c>
      <c r="B11" s="24">
        <v>480</v>
      </c>
      <c r="C11" s="24">
        <v>390</v>
      </c>
      <c r="D11" s="24">
        <v>355</v>
      </c>
      <c r="E11" s="24">
        <v>300</v>
      </c>
      <c r="F11" s="24">
        <v>230</v>
      </c>
      <c r="G11" s="24">
        <v>180</v>
      </c>
      <c r="H11" s="24">
        <v>65</v>
      </c>
      <c r="I11" s="24">
        <v>-1</v>
      </c>
      <c r="J11" s="24">
        <v>40</v>
      </c>
    </row>
    <row r="12" spans="1:10" x14ac:dyDescent="0.2">
      <c r="A12" s="25" t="s">
        <v>97</v>
      </c>
      <c r="B12" s="24">
        <v>525</v>
      </c>
      <c r="C12" s="24">
        <v>430</v>
      </c>
      <c r="D12" s="24">
        <v>400</v>
      </c>
      <c r="E12" s="24">
        <v>340</v>
      </c>
      <c r="F12" s="24">
        <v>270</v>
      </c>
      <c r="G12" s="24">
        <v>220</v>
      </c>
      <c r="H12" s="24">
        <v>105</v>
      </c>
      <c r="I12" s="24">
        <v>40</v>
      </c>
      <c r="J12" s="24">
        <v>-1</v>
      </c>
    </row>
    <row r="14" spans="1:10" ht="23.25" x14ac:dyDescent="0.35">
      <c r="A14" s="17" t="s">
        <v>168</v>
      </c>
      <c r="E14" s="17" t="s">
        <v>163</v>
      </c>
    </row>
    <row r="15" spans="1:10" ht="15.75" x14ac:dyDescent="0.25">
      <c r="A15" s="13" t="s">
        <v>100</v>
      </c>
      <c r="B15" s="16" t="s">
        <v>101</v>
      </c>
      <c r="C15" s="15" t="s">
        <v>102</v>
      </c>
      <c r="E15" s="18" t="s">
        <v>43</v>
      </c>
      <c r="F15" s="18" t="s">
        <v>99</v>
      </c>
      <c r="H15" s="52" t="s">
        <v>183</v>
      </c>
      <c r="I15" s="52" t="s">
        <v>182</v>
      </c>
    </row>
    <row r="16" spans="1:10" ht="15.75" x14ac:dyDescent="0.25">
      <c r="A16" s="7">
        <v>10100</v>
      </c>
      <c r="B16" s="11">
        <v>10102</v>
      </c>
      <c r="C16" s="53">
        <f t="shared" ref="C16:C28" si="0">INDEX($A$3:$J$12,MATCH(VLOOKUP(A16,$E$15:$F$24,2,FALSE),$A$3:$A$12,0),MATCH(VLOOKUP(B16,$E$15:$F$24,2,FALSE),$A$3:$J$3,0))</f>
        <v>95</v>
      </c>
      <c r="E16" s="11">
        <v>10100</v>
      </c>
      <c r="F16" s="11" t="s">
        <v>89</v>
      </c>
      <c r="I16" s="51" t="s">
        <v>185</v>
      </c>
    </row>
    <row r="17" spans="1:9" ht="15.75" x14ac:dyDescent="0.25">
      <c r="A17" s="7">
        <v>10100</v>
      </c>
      <c r="B17" s="11">
        <v>10104</v>
      </c>
      <c r="C17" s="53">
        <f t="shared" si="0"/>
        <v>-1</v>
      </c>
      <c r="E17" s="11">
        <v>10102</v>
      </c>
      <c r="F17" s="11" t="s">
        <v>90</v>
      </c>
      <c r="I17" s="51" t="s">
        <v>184</v>
      </c>
    </row>
    <row r="18" spans="1:9" ht="15.75" x14ac:dyDescent="0.25">
      <c r="A18" s="7">
        <v>10108</v>
      </c>
      <c r="B18" s="11">
        <v>10102</v>
      </c>
      <c r="C18" s="53">
        <f t="shared" si="0"/>
        <v>160</v>
      </c>
      <c r="E18" s="11">
        <v>10104</v>
      </c>
      <c r="F18" s="11" t="s">
        <v>91</v>
      </c>
      <c r="I18" s="51" t="s">
        <v>186</v>
      </c>
    </row>
    <row r="19" spans="1:9" ht="15" x14ac:dyDescent="0.25">
      <c r="A19" s="7">
        <v>10100</v>
      </c>
      <c r="B19" s="11">
        <v>10106</v>
      </c>
      <c r="C19" s="53">
        <f t="shared" si="0"/>
        <v>185</v>
      </c>
      <c r="E19" s="11">
        <v>10106</v>
      </c>
      <c r="F19" s="11" t="s">
        <v>92</v>
      </c>
    </row>
    <row r="20" spans="1:9" ht="15" x14ac:dyDescent="0.25">
      <c r="A20" s="7">
        <v>10108</v>
      </c>
      <c r="B20" s="11">
        <v>10110</v>
      </c>
      <c r="C20" s="53">
        <f t="shared" si="0"/>
        <v>50</v>
      </c>
      <c r="E20" s="11">
        <v>10108</v>
      </c>
      <c r="F20" s="11" t="s">
        <v>93</v>
      </c>
    </row>
    <row r="21" spans="1:9" ht="15" x14ac:dyDescent="0.25">
      <c r="A21" s="7">
        <v>10102</v>
      </c>
      <c r="B21" s="11">
        <v>10104</v>
      </c>
      <c r="C21" s="53">
        <f t="shared" si="0"/>
        <v>-1</v>
      </c>
      <c r="E21" s="11">
        <v>10110</v>
      </c>
      <c r="F21" s="11" t="s">
        <v>94</v>
      </c>
    </row>
    <row r="22" spans="1:9" ht="15" x14ac:dyDescent="0.25">
      <c r="A22" s="7">
        <v>10106</v>
      </c>
      <c r="B22" s="11">
        <v>10108</v>
      </c>
      <c r="C22" s="53">
        <f t="shared" si="0"/>
        <v>70</v>
      </c>
      <c r="E22" s="11">
        <v>10112</v>
      </c>
      <c r="F22" s="11" t="s">
        <v>95</v>
      </c>
    </row>
    <row r="23" spans="1:9" ht="15" x14ac:dyDescent="0.25">
      <c r="A23" s="7">
        <v>10102</v>
      </c>
      <c r="B23" s="11">
        <v>10106</v>
      </c>
      <c r="C23" s="53">
        <f t="shared" si="0"/>
        <v>90</v>
      </c>
      <c r="E23" s="11">
        <v>10114</v>
      </c>
      <c r="F23" s="11" t="s">
        <v>96</v>
      </c>
    </row>
    <row r="24" spans="1:9" ht="15" x14ac:dyDescent="0.25">
      <c r="A24" s="7">
        <v>10110</v>
      </c>
      <c r="B24" s="11">
        <v>10114</v>
      </c>
      <c r="C24" s="53">
        <f t="shared" si="0"/>
        <v>180</v>
      </c>
      <c r="E24" s="12">
        <v>10116</v>
      </c>
      <c r="F24" s="12" t="s">
        <v>97</v>
      </c>
    </row>
    <row r="25" spans="1:9" ht="15" x14ac:dyDescent="0.25">
      <c r="A25" s="7">
        <v>10104</v>
      </c>
      <c r="B25" s="11">
        <v>10106</v>
      </c>
      <c r="C25" s="53">
        <f t="shared" si="0"/>
        <v>60</v>
      </c>
    </row>
    <row r="26" spans="1:9" ht="15" x14ac:dyDescent="0.25">
      <c r="A26" s="7">
        <v>10110</v>
      </c>
      <c r="B26" s="11">
        <v>10112</v>
      </c>
      <c r="C26" s="53">
        <f t="shared" si="0"/>
        <v>115</v>
      </c>
    </row>
    <row r="27" spans="1:9" ht="15" x14ac:dyDescent="0.25">
      <c r="A27" s="7">
        <v>10100</v>
      </c>
      <c r="B27" s="11">
        <v>10114</v>
      </c>
      <c r="C27" s="53">
        <f t="shared" si="0"/>
        <v>480</v>
      </c>
    </row>
    <row r="28" spans="1:9" ht="15" x14ac:dyDescent="0.25">
      <c r="A28" s="9">
        <v>10112</v>
      </c>
      <c r="B28" s="12">
        <v>10116</v>
      </c>
      <c r="C28" s="5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Aman Kumar</cp:lastModifiedBy>
  <dcterms:created xsi:type="dcterms:W3CDTF">2015-02-10T17:33:11Z</dcterms:created>
  <dcterms:modified xsi:type="dcterms:W3CDTF">2023-12-10T06:40:04Z</dcterms:modified>
</cp:coreProperties>
</file>